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桌面\"/>
    </mc:Choice>
  </mc:AlternateContent>
  <xr:revisionPtr revIDLastSave="0" documentId="13_ncr:1_{AAFC2FE6-879C-4B8B-89B3-7F17CD43B0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9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L36" i="1"/>
  <c r="O17" i="1"/>
  <c r="N17" i="1"/>
  <c r="M17" i="1"/>
  <c r="L17" i="1"/>
  <c r="K17" i="1"/>
  <c r="P17" i="1" s="1"/>
  <c r="O16" i="1"/>
  <c r="N16" i="1"/>
  <c r="M16" i="1"/>
  <c r="L16" i="1"/>
  <c r="K16" i="1"/>
  <c r="P16" i="1" s="1"/>
  <c r="O15" i="1"/>
  <c r="N15" i="1"/>
  <c r="M15" i="1"/>
  <c r="L15" i="1"/>
  <c r="K15" i="1"/>
  <c r="L13" i="1"/>
  <c r="N13" i="1" s="1"/>
  <c r="Q13" i="1" s="1"/>
  <c r="V20" i="1"/>
  <c r="R19" i="1"/>
  <c r="T10" i="1"/>
  <c r="P11" i="1"/>
  <c r="T21" i="1"/>
  <c r="T9" i="1"/>
  <c r="M13" i="1"/>
  <c r="P12" i="1"/>
  <c r="X18" i="1"/>
  <c r="V21" i="1"/>
  <c r="R20" i="1"/>
  <c r="T11" i="1"/>
  <c r="P9" i="1"/>
  <c r="V17" i="1"/>
  <c r="R21" i="1"/>
  <c r="T12" i="1"/>
  <c r="M10" i="1"/>
  <c r="T20" i="1"/>
  <c r="T13" i="1"/>
  <c r="M12" i="1"/>
  <c r="R17" i="1"/>
  <c r="L20" i="1"/>
  <c r="T26" i="1"/>
  <c r="P13" i="1"/>
  <c r="X19" i="1"/>
  <c r="R18" i="1"/>
  <c r="M11" i="1"/>
  <c r="P10" i="1"/>
  <c r="M9" i="1"/>
  <c r="X20" i="1"/>
  <c r="X21" i="1"/>
  <c r="T17" i="1"/>
  <c r="X17" i="1"/>
  <c r="T19" i="1"/>
  <c r="V18" i="1"/>
  <c r="T18" i="1"/>
  <c r="S26" i="1"/>
  <c r="V19" i="1"/>
  <c r="L12" i="1" l="1"/>
  <c r="L11" i="1" s="1"/>
  <c r="L10" i="1" s="1"/>
  <c r="S13" i="1"/>
  <c r="S21" i="1" s="1"/>
  <c r="Q21" i="1"/>
  <c r="U21" i="1" s="1"/>
  <c r="W21" i="1" s="1"/>
  <c r="N12" i="1"/>
  <c r="Q12" i="1" s="1"/>
  <c r="N11" i="1" l="1"/>
  <c r="Q11" i="1" s="1"/>
  <c r="S11" i="1" s="1"/>
  <c r="S19" i="1" s="1"/>
  <c r="Q20" i="1"/>
  <c r="S12" i="1"/>
  <c r="S20" i="1" s="1"/>
  <c r="L9" i="1"/>
  <c r="N9" i="1" s="1"/>
  <c r="N10" i="1"/>
  <c r="Q10" i="1" s="1"/>
  <c r="Q19" i="1" l="1"/>
  <c r="U19" i="1" s="1"/>
  <c r="W19" i="1" s="1"/>
  <c r="L19" i="1"/>
  <c r="M19" i="1" s="1"/>
  <c r="S10" i="1"/>
  <c r="S18" i="1" s="1"/>
  <c r="Q18" i="1"/>
  <c r="Q9" i="1"/>
  <c r="U20" i="1"/>
  <c r="W20" i="1" s="1"/>
  <c r="U18" i="1" l="1"/>
  <c r="W18" i="1" s="1"/>
  <c r="Q17" i="1"/>
  <c r="S9" i="1"/>
  <c r="S17" i="1" s="1"/>
  <c r="U17" i="1" l="1"/>
  <c r="W17" i="1" s="1"/>
  <c r="S24" i="1" l="1"/>
  <c r="T24" i="1"/>
</calcChain>
</file>

<file path=xl/sharedStrings.xml><?xml version="1.0" encoding="utf-8"?>
<sst xmlns="http://schemas.openxmlformats.org/spreadsheetml/2006/main" count="50" uniqueCount="47">
  <si>
    <t>Station (幾種狀況)</t>
  </si>
  <si>
    <t>Machine</t>
  </si>
  <si>
    <t>成功率</t>
  </si>
  <si>
    <t>加工功率(可變)</t>
  </si>
  <si>
    <t>閒置功率(可變)</t>
  </si>
  <si>
    <t>第 i 個工作站、在第 k 種容量狀態下，
處理 1 個產品所需要的時間（以小時計）</t>
  </si>
  <si>
    <t>單站加工時間上限</t>
  </si>
  <si>
    <t>容量</t>
  </si>
  <si>
    <t>容量prob</t>
  </si>
  <si>
    <t>1(6)</t>
  </si>
  <si>
    <t>輸出量(可變&lt;2591)=</t>
  </si>
  <si>
    <t>CO2=</t>
  </si>
  <si>
    <t>可靠度計算</t>
  </si>
  <si>
    <t>時間計算</t>
  </si>
  <si>
    <t>2(6)</t>
  </si>
  <si>
    <t>投入量</t>
  </si>
  <si>
    <t>取整後</t>
  </si>
  <si>
    <t>單站加工時間</t>
  </si>
  <si>
    <t>idle時間</t>
  </si>
  <si>
    <t>I1</t>
  </si>
  <si>
    <t>I2</t>
  </si>
  <si>
    <t>I3</t>
  </si>
  <si>
    <t>I4</t>
  </si>
  <si>
    <t>I5</t>
  </si>
  <si>
    <t>3(6)</t>
  </si>
  <si>
    <t>Minimal capacity</t>
  </si>
  <si>
    <t>功率和碳排放</t>
  </si>
  <si>
    <t>加工功率</t>
  </si>
  <si>
    <t>idle功率</t>
  </si>
  <si>
    <t>總功率</t>
  </si>
  <si>
    <t>總碳排放</t>
  </si>
  <si>
    <t>RSDP</t>
  </si>
  <si>
    <t>四捨五入</t>
  </si>
  <si>
    <t>Rd(容量機率相乘)=</t>
  </si>
  <si>
    <t>4(6)</t>
  </si>
  <si>
    <t>5(6)</t>
  </si>
  <si>
    <t>time最大上限</t>
  </si>
  <si>
    <t>投入量公式</t>
    <phoneticPr fontId="9" type="noConversion"/>
  </si>
  <si>
    <t>單站加工時間公式</t>
    <phoneticPr fontId="9" type="noConversion"/>
  </si>
  <si>
    <t>idle時間公式</t>
    <phoneticPr fontId="9" type="noConversion"/>
  </si>
  <si>
    <r>
      <rPr>
        <sz val="10"/>
        <color rgb="FFFF0000"/>
        <rFont val="微軟正黑體"/>
        <family val="2"/>
        <charset val="136"/>
      </rPr>
      <t>總功率</t>
    </r>
    <r>
      <rPr>
        <sz val="10"/>
        <color rgb="FFFF0000"/>
        <rFont val="Microsoft JhengHei"/>
        <family val="2"/>
      </rPr>
      <t>公式</t>
    </r>
    <phoneticPr fontId="9" type="noConversion"/>
  </si>
  <si>
    <r>
      <rPr>
        <sz val="10"/>
        <color rgb="FFFF0000"/>
        <rFont val="微軟正黑體"/>
        <family val="2"/>
        <charset val="136"/>
      </rPr>
      <t>總碳排放</t>
    </r>
    <r>
      <rPr>
        <sz val="10"/>
        <color rgb="FFFF0000"/>
        <rFont val="Microsoft JhengHei"/>
        <family val="2"/>
      </rPr>
      <t>公式</t>
    </r>
    <phoneticPr fontId="9" type="noConversion"/>
  </si>
  <si>
    <r>
      <t>Rd(</t>
    </r>
    <r>
      <rPr>
        <sz val="12"/>
        <color rgb="FFFF0000"/>
        <rFont val="新細明體"/>
        <family val="1"/>
        <charset val="136"/>
      </rPr>
      <t>容量機率相乘</t>
    </r>
    <r>
      <rPr>
        <sz val="12"/>
        <color rgb="FFFF0000"/>
        <rFont val="Times New Roman"/>
        <family val="1"/>
      </rPr>
      <t>)</t>
    </r>
    <r>
      <rPr>
        <sz val="12"/>
        <color rgb="FFFF0000"/>
        <rFont val="Microsoft JhengHei"/>
        <family val="1"/>
      </rPr>
      <t>公式</t>
    </r>
    <phoneticPr fontId="9" type="noConversion"/>
  </si>
  <si>
    <t>idle功率公式</t>
    <phoneticPr fontId="9" type="noConversion"/>
  </si>
  <si>
    <t>總功率公式</t>
    <phoneticPr fontId="9" type="noConversion"/>
  </si>
  <si>
    <t>總碳排放公式</t>
    <phoneticPr fontId="9" type="noConversion"/>
  </si>
  <si>
    <r>
      <rPr>
        <sz val="10"/>
        <color rgb="FFFF0000"/>
        <rFont val="標楷體"/>
        <family val="4"/>
        <charset val="136"/>
      </rPr>
      <t>加工功率公式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</si>
</sst>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2"/>
      <color rgb="FF000000"/>
      <name val="Times New Roman"/>
      <family val="1"/>
    </font>
    <font>
      <b/>
      <sz val="12"/>
      <color theme="1"/>
      <name val="DFKai-SB"/>
    </font>
    <font>
      <sz val="12"/>
      <color theme="1"/>
      <name val="Calibri"/>
      <family val="2"/>
    </font>
    <font>
      <sz val="12"/>
      <color theme="1"/>
      <name val="DFKai-SB"/>
    </font>
    <font>
      <sz val="12"/>
      <color theme="1"/>
      <name val="Times New Roman"/>
      <family val="1"/>
    </font>
    <font>
      <sz val="12"/>
      <color rgb="FF000000"/>
      <name val="&quot;Times New Roman&quot;"/>
    </font>
    <font>
      <b/>
      <sz val="12"/>
      <color theme="1"/>
      <name val="MingLiu"/>
      <family val="3"/>
      <charset val="136"/>
    </font>
    <font>
      <sz val="9"/>
      <name val="Arial"/>
      <family val="3"/>
      <charset val="136"/>
      <scheme val="minor"/>
    </font>
    <font>
      <sz val="12"/>
      <color rgb="FFFF0000"/>
      <name val="DFKai-SB"/>
    </font>
    <font>
      <sz val="10"/>
      <color rgb="FFFF0000"/>
      <name val="Arial"/>
      <family val="2"/>
      <scheme val="minor"/>
    </font>
    <font>
      <sz val="10"/>
      <color rgb="FFFF0000"/>
      <name val="Arial"/>
      <family val="2"/>
      <charset val="136"/>
    </font>
    <font>
      <sz val="10"/>
      <color rgb="FFFF0000"/>
      <name val="微軟正黑體"/>
      <family val="2"/>
      <charset val="136"/>
    </font>
    <font>
      <sz val="10"/>
      <color rgb="FFFF0000"/>
      <name val="Microsoft JhengHei"/>
      <family val="2"/>
    </font>
    <font>
      <sz val="12"/>
      <color rgb="FFFF0000"/>
      <name val="Times New Roman"/>
      <family val="1"/>
    </font>
    <font>
      <sz val="12"/>
      <color rgb="FFFF0000"/>
      <name val="新細明體"/>
      <family val="1"/>
      <charset val="136"/>
    </font>
    <font>
      <sz val="12"/>
      <color rgb="FFFF0000"/>
      <name val="Microsoft JhengHei"/>
      <family val="1"/>
    </font>
    <font>
      <sz val="12"/>
      <color rgb="FFFF0000"/>
      <name val="標楷體"/>
      <family val="4"/>
      <charset val="136"/>
    </font>
    <font>
      <sz val="10"/>
      <color rgb="FFFF0000"/>
      <name val="標楷體"/>
      <family val="4"/>
      <charset val="136"/>
    </font>
  </fonts>
  <fills count="8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2" borderId="3" xfId="0" applyFont="1" applyFill="1" applyBorder="1"/>
    <xf numFmtId="0" fontId="1" fillId="2" borderId="0" xfId="0" applyFont="1" applyFill="1"/>
    <xf numFmtId="0" fontId="1" fillId="0" borderId="4" xfId="0" applyFont="1" applyBorder="1"/>
    <xf numFmtId="0" fontId="1" fillId="0" borderId="0" xfId="0" applyFont="1"/>
    <xf numFmtId="0" fontId="2" fillId="0" borderId="4" xfId="0" applyFont="1" applyBorder="1" applyAlignment="1">
      <alignment vertical="center"/>
    </xf>
    <xf numFmtId="0" fontId="1" fillId="0" borderId="5" xfId="0" applyFont="1" applyBorder="1"/>
    <xf numFmtId="0" fontId="1" fillId="3" borderId="0" xfId="0" applyFont="1" applyFill="1"/>
    <xf numFmtId="0" fontId="1" fillId="4" borderId="0" xfId="0" applyFont="1" applyFill="1"/>
    <xf numFmtId="0" fontId="3" fillId="0" borderId="0" xfId="0" applyFont="1"/>
    <xf numFmtId="0" fontId="4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6" fillId="5" borderId="0" xfId="0" applyFont="1" applyFill="1" applyAlignment="1">
      <alignment horizontal="right"/>
    </xf>
    <xf numFmtId="0" fontId="7" fillId="0" borderId="0" xfId="0" applyFont="1"/>
    <xf numFmtId="0" fontId="1" fillId="6" borderId="0" xfId="0" applyFont="1" applyFill="1"/>
    <xf numFmtId="0" fontId="8" fillId="0" borderId="0" xfId="0" applyFont="1"/>
    <xf numFmtId="0" fontId="1" fillId="7" borderId="0" xfId="0" applyFont="1" applyFill="1"/>
    <xf numFmtId="0" fontId="6" fillId="0" borderId="0" xfId="0" applyFont="1" applyAlignment="1">
      <alignment horizontal="right" vertic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5" fillId="0" borderId="0" xfId="0" applyFont="1" applyAlignment="1">
      <alignment horizontal="right" vertical="center"/>
    </xf>
    <xf numFmtId="0" fontId="18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36"/>
  <sheetViews>
    <sheetView tabSelected="1" zoomScale="110" zoomScaleNormal="110" workbookViewId="0">
      <selection activeCell="R16" sqref="R16"/>
    </sheetView>
  </sheetViews>
  <sheetFormatPr defaultColWidth="12.6640625" defaultRowHeight="15.75" customHeight="1"/>
  <cols>
    <col min="1" max="1" width="14.88671875" customWidth="1"/>
    <col min="2" max="2" width="7.21875" customWidth="1"/>
    <col min="3" max="3" width="6" customWidth="1"/>
    <col min="4" max="5" width="12.109375" customWidth="1"/>
    <col min="6" max="6" width="31.109375" customWidth="1"/>
    <col min="7" max="7" width="14.33203125" customWidth="1"/>
    <col min="8" max="8" width="4.77734375" customWidth="1"/>
    <col min="9" max="9" width="7.6640625" customWidth="1"/>
    <col min="11" max="11" width="17.77734375" customWidth="1"/>
    <col min="12" max="12" width="16.21875" customWidth="1"/>
    <col min="16" max="16" width="20.6640625" bestFit="1" customWidth="1"/>
    <col min="17" max="17" width="16.77734375" bestFit="1" customWidth="1"/>
    <col min="18" max="18" width="20.21875" bestFit="1" customWidth="1"/>
    <col min="19" max="19" width="15.44140625" bestFit="1" customWidth="1"/>
    <col min="20" max="20" width="15.6640625" bestFit="1" customWidth="1"/>
    <col min="22" max="22" width="16.21875" bestFit="1" customWidth="1"/>
    <col min="24" max="24" width="15.6640625" bestFit="1" customWidth="1"/>
  </cols>
  <sheetData>
    <row r="1" spans="1:26" ht="13.2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2" t="s">
        <v>6</v>
      </c>
      <c r="H1" s="2" t="s">
        <v>7</v>
      </c>
      <c r="I1" s="4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6">
      <c r="A2" s="6" t="s">
        <v>9</v>
      </c>
      <c r="B2" s="7">
        <v>1</v>
      </c>
      <c r="C2" s="7">
        <v>0.96</v>
      </c>
      <c r="D2">
        <v>2.89</v>
      </c>
      <c r="E2" s="7">
        <f>0.4335</f>
        <v>0.4335</v>
      </c>
      <c r="F2" s="8">
        <v>1.6862268986914881E-3</v>
      </c>
      <c r="G2" s="7">
        <v>10</v>
      </c>
      <c r="H2" s="7">
        <v>0</v>
      </c>
      <c r="I2" s="9">
        <v>1E-3</v>
      </c>
    </row>
    <row r="3" spans="1:26" ht="15.6">
      <c r="A3" s="6"/>
      <c r="B3" s="7">
        <v>1</v>
      </c>
      <c r="C3" s="7">
        <v>0.96</v>
      </c>
      <c r="D3">
        <v>2.89</v>
      </c>
      <c r="E3" s="7">
        <f t="shared" ref="E3:E31" si="0">0.4335</f>
        <v>0.4335</v>
      </c>
      <c r="F3" s="8">
        <v>1.6862268986914881E-3</v>
      </c>
      <c r="G3" s="7">
        <v>10</v>
      </c>
      <c r="H3" s="7">
        <v>700</v>
      </c>
      <c r="I3" s="9">
        <v>3.0000000000000001E-3</v>
      </c>
    </row>
    <row r="4" spans="1:26" ht="15.6">
      <c r="A4" s="6"/>
      <c r="B4" s="7">
        <v>1</v>
      </c>
      <c r="C4" s="7">
        <v>0.96</v>
      </c>
      <c r="D4">
        <v>2.89</v>
      </c>
      <c r="E4" s="7">
        <f t="shared" si="0"/>
        <v>0.4335</v>
      </c>
      <c r="F4" s="8">
        <v>1.6862268986914881E-3</v>
      </c>
      <c r="G4" s="7">
        <v>10</v>
      </c>
      <c r="H4" s="7">
        <v>1400</v>
      </c>
      <c r="I4" s="9">
        <v>5.0000000000000001E-3</v>
      </c>
      <c r="K4" s="10" t="s">
        <v>10</v>
      </c>
      <c r="L4" s="7">
        <v>2592</v>
      </c>
    </row>
    <row r="5" spans="1:26" ht="15.6">
      <c r="A5" s="6"/>
      <c r="B5" s="7">
        <v>1</v>
      </c>
      <c r="C5" s="7">
        <v>0.96</v>
      </c>
      <c r="D5">
        <v>2.89</v>
      </c>
      <c r="E5" s="7">
        <f t="shared" si="0"/>
        <v>0.4335</v>
      </c>
      <c r="F5" s="8">
        <v>1.6862268986914881E-3</v>
      </c>
      <c r="G5" s="7">
        <v>10</v>
      </c>
      <c r="H5" s="7">
        <v>2100</v>
      </c>
      <c r="I5" s="9">
        <v>7.0000000000000001E-3</v>
      </c>
      <c r="K5" s="7" t="s">
        <v>11</v>
      </c>
      <c r="L5" s="11">
        <v>0.47399999999999998</v>
      </c>
    </row>
    <row r="6" spans="1:26" ht="15.6">
      <c r="A6" s="6"/>
      <c r="B6" s="7">
        <v>1</v>
      </c>
      <c r="C6" s="7">
        <v>0.96</v>
      </c>
      <c r="D6">
        <v>2.89</v>
      </c>
      <c r="E6" s="7">
        <f t="shared" si="0"/>
        <v>0.4335</v>
      </c>
      <c r="F6" s="8">
        <v>1.6862268986914881E-3</v>
      </c>
      <c r="G6" s="7">
        <v>10</v>
      </c>
      <c r="H6" s="7">
        <v>2800</v>
      </c>
      <c r="I6" s="9">
        <v>1.2E-2</v>
      </c>
    </row>
    <row r="7" spans="1:26" ht="15.75" customHeight="1">
      <c r="A7" s="6"/>
      <c r="B7" s="7">
        <v>1</v>
      </c>
      <c r="C7" s="7">
        <v>0.96</v>
      </c>
      <c r="D7" s="7">
        <v>2.89</v>
      </c>
      <c r="E7" s="7">
        <f t="shared" si="0"/>
        <v>0.4335</v>
      </c>
      <c r="F7" s="8">
        <v>1.6862268986914881E-3</v>
      </c>
      <c r="G7" s="7">
        <v>10</v>
      </c>
      <c r="H7" s="7">
        <v>3500</v>
      </c>
      <c r="I7" s="9">
        <v>0.97199999999999998</v>
      </c>
      <c r="K7" s="7" t="s">
        <v>12</v>
      </c>
      <c r="Q7" s="12" t="s">
        <v>13</v>
      </c>
      <c r="R7" s="13"/>
      <c r="S7" s="13"/>
    </row>
    <row r="8" spans="1:26" ht="15.75" customHeight="1">
      <c r="A8" s="14" t="s">
        <v>14</v>
      </c>
      <c r="B8" s="15">
        <v>1</v>
      </c>
      <c r="C8" s="15">
        <v>0.96</v>
      </c>
      <c r="D8" s="15">
        <v>2.89</v>
      </c>
      <c r="E8" s="15">
        <f t="shared" si="0"/>
        <v>0.4335</v>
      </c>
      <c r="F8" s="14">
        <v>1.0065425264217401E-2</v>
      </c>
      <c r="G8" s="15">
        <v>30</v>
      </c>
      <c r="H8" s="15">
        <v>0</v>
      </c>
      <c r="I8" s="16">
        <v>1E-3</v>
      </c>
      <c r="K8" s="13"/>
      <c r="L8" s="17" t="s">
        <v>15</v>
      </c>
      <c r="M8" s="29" t="s">
        <v>37</v>
      </c>
      <c r="N8" s="17" t="s">
        <v>16</v>
      </c>
      <c r="O8" s="13"/>
      <c r="P8" s="29" t="s">
        <v>38</v>
      </c>
      <c r="Q8" s="17" t="s">
        <v>17</v>
      </c>
      <c r="R8" s="17" t="s">
        <v>6</v>
      </c>
      <c r="S8" s="17" t="s">
        <v>18</v>
      </c>
      <c r="T8" s="29" t="s">
        <v>39</v>
      </c>
    </row>
    <row r="9" spans="1:26" ht="15.75" customHeight="1">
      <c r="A9" s="6"/>
      <c r="B9" s="7">
        <v>1</v>
      </c>
      <c r="C9" s="7">
        <v>0.96</v>
      </c>
      <c r="D9">
        <v>2.89</v>
      </c>
      <c r="E9" s="7">
        <f t="shared" si="0"/>
        <v>0.4335</v>
      </c>
      <c r="F9" s="6">
        <v>1.0065425264217401E-2</v>
      </c>
      <c r="G9" s="7">
        <v>30</v>
      </c>
      <c r="H9" s="7">
        <v>675</v>
      </c>
      <c r="I9" s="9">
        <v>3.0000000000000001E-3</v>
      </c>
      <c r="K9" s="18" t="s">
        <v>19</v>
      </c>
      <c r="L9" s="19">
        <f>L10/C2</f>
        <v>3178.9143880208335</v>
      </c>
      <c r="M9" s="30" t="str">
        <f ca="1">_xlfn.FORMULATEXT(L9)</f>
        <v>=L10/C2</v>
      </c>
      <c r="N9" s="20">
        <f>ROUNDUP(L9,0)</f>
        <v>3179</v>
      </c>
      <c r="O9" s="19">
        <v>1</v>
      </c>
      <c r="P9" s="30" t="str">
        <f ca="1">_xlfn.FORMULATEXT(Q9)</f>
        <v>=N9*F2</v>
      </c>
      <c r="Q9" s="7">
        <f>N9*F2</f>
        <v>5.3605153109402401</v>
      </c>
      <c r="R9" s="7">
        <v>10</v>
      </c>
      <c r="S9" s="11">
        <f t="shared" ref="S9:S13" si="1">R9-Q9</f>
        <v>4.6394846890597599</v>
      </c>
      <c r="T9" s="30" t="str">
        <f ca="1">_xlfn.FORMULATEXT(S9)</f>
        <v>=R9-Q9</v>
      </c>
    </row>
    <row r="10" spans="1:26" ht="15.75" customHeight="1">
      <c r="A10" s="6"/>
      <c r="B10" s="7">
        <v>1</v>
      </c>
      <c r="C10" s="7">
        <v>0.96</v>
      </c>
      <c r="D10">
        <v>2.89</v>
      </c>
      <c r="E10" s="7">
        <f t="shared" si="0"/>
        <v>0.4335</v>
      </c>
      <c r="F10" s="6">
        <v>1.0065425264217401E-2</v>
      </c>
      <c r="G10" s="7">
        <v>30</v>
      </c>
      <c r="H10" s="7">
        <v>1350</v>
      </c>
      <c r="I10" s="9">
        <v>5.0000000000000001E-3</v>
      </c>
      <c r="K10" s="18" t="s">
        <v>20</v>
      </c>
      <c r="L10" s="19">
        <f>L11/C8</f>
        <v>3051.7578125</v>
      </c>
      <c r="M10" s="30" t="str">
        <f t="shared" ref="M10:M13" ca="1" si="2">_xlfn.FORMULATEXT(L10)</f>
        <v>=L11/C8</v>
      </c>
      <c r="N10" s="20">
        <f>ROUNDUP(L10,0)</f>
        <v>3052</v>
      </c>
      <c r="O10" s="19">
        <v>2</v>
      </c>
      <c r="P10" s="30" t="str">
        <f t="shared" ref="P10:P13" ca="1" si="3">_xlfn.FORMULATEXT(Q10)</f>
        <v>=N10*F8</v>
      </c>
      <c r="Q10" s="7">
        <f>N10*F8</f>
        <v>30.719677906391507</v>
      </c>
      <c r="R10" s="7">
        <v>30</v>
      </c>
      <c r="S10" s="11">
        <f t="shared" si="1"/>
        <v>-0.71967790639150664</v>
      </c>
      <c r="T10" s="30" t="str">
        <f t="shared" ref="T10:T13" ca="1" si="4">_xlfn.FORMULATEXT(S10)</f>
        <v>=R10-Q10</v>
      </c>
    </row>
    <row r="11" spans="1:26" ht="15.75" customHeight="1">
      <c r="A11" s="6"/>
      <c r="B11" s="7">
        <v>1</v>
      </c>
      <c r="C11" s="7">
        <v>0.96</v>
      </c>
      <c r="D11">
        <v>2.89</v>
      </c>
      <c r="E11" s="7">
        <f t="shared" si="0"/>
        <v>0.4335</v>
      </c>
      <c r="F11" s="6">
        <v>1.0065425264217401E-2</v>
      </c>
      <c r="G11" s="7">
        <v>30</v>
      </c>
      <c r="H11" s="7">
        <v>2025</v>
      </c>
      <c r="I11" s="9">
        <v>7.0000000000000001E-3</v>
      </c>
      <c r="K11" s="18" t="s">
        <v>21</v>
      </c>
      <c r="L11" s="19">
        <f>L12/C14</f>
        <v>2929.6875</v>
      </c>
      <c r="M11" s="30" t="str">
        <f t="shared" ca="1" si="2"/>
        <v>=L12/C14</v>
      </c>
      <c r="N11" s="20">
        <f>ROUNDUP(L11,0)</f>
        <v>2930</v>
      </c>
      <c r="O11" s="19">
        <v>3</v>
      </c>
      <c r="P11" s="30" t="str">
        <f t="shared" ca="1" si="3"/>
        <v>=N11*F14</v>
      </c>
      <c r="Q11" s="7">
        <f>N11*F14</f>
        <v>94.573330643534291</v>
      </c>
      <c r="R11" s="7">
        <v>100</v>
      </c>
      <c r="S11" s="11">
        <f t="shared" si="1"/>
        <v>5.4266693564657089</v>
      </c>
      <c r="T11" s="30" t="str">
        <f t="shared" ca="1" si="4"/>
        <v>=R11-Q11</v>
      </c>
    </row>
    <row r="12" spans="1:26" ht="15.75" customHeight="1">
      <c r="A12" s="6"/>
      <c r="B12" s="7">
        <v>1</v>
      </c>
      <c r="C12" s="7">
        <v>0.96</v>
      </c>
      <c r="D12">
        <v>2.89</v>
      </c>
      <c r="E12" s="7">
        <f t="shared" si="0"/>
        <v>0.4335</v>
      </c>
      <c r="F12" s="6">
        <v>1.0065425264217401E-2</v>
      </c>
      <c r="G12" s="7">
        <v>30</v>
      </c>
      <c r="H12" s="7">
        <v>2700</v>
      </c>
      <c r="I12" s="9">
        <v>1.2E-2</v>
      </c>
      <c r="K12" s="18" t="s">
        <v>22</v>
      </c>
      <c r="L12" s="19">
        <f>L13/C20</f>
        <v>2812.5</v>
      </c>
      <c r="M12" s="30" t="str">
        <f t="shared" ca="1" si="2"/>
        <v>=L13/C20</v>
      </c>
      <c r="N12" s="20">
        <f>ROUNDUP(L12,0)</f>
        <v>2813</v>
      </c>
      <c r="O12" s="19">
        <v>4</v>
      </c>
      <c r="P12" s="30" t="str">
        <f t="shared" ca="1" si="3"/>
        <v>=N12*F20</v>
      </c>
      <c r="Q12" s="7">
        <f>N12*F20</f>
        <v>24.563180552038499</v>
      </c>
      <c r="R12" s="7">
        <v>25</v>
      </c>
      <c r="S12" s="11">
        <f t="shared" si="1"/>
        <v>0.43681944796150063</v>
      </c>
      <c r="T12" s="30" t="str">
        <f t="shared" ca="1" si="4"/>
        <v>=R12-Q12</v>
      </c>
    </row>
    <row r="13" spans="1:26" ht="15.75" customHeight="1">
      <c r="A13" s="6"/>
      <c r="B13" s="7">
        <v>1</v>
      </c>
      <c r="C13" s="7">
        <v>0.96</v>
      </c>
      <c r="D13">
        <v>2.89</v>
      </c>
      <c r="E13" s="7">
        <f t="shared" si="0"/>
        <v>0.4335</v>
      </c>
      <c r="F13" s="6">
        <v>1.0065425264217401E-2</v>
      </c>
      <c r="G13" s="7">
        <v>30</v>
      </c>
      <c r="H13" s="7">
        <v>3375</v>
      </c>
      <c r="I13" s="9">
        <v>0.97199999999999998</v>
      </c>
      <c r="K13" s="18" t="s">
        <v>23</v>
      </c>
      <c r="L13" s="19">
        <f>L4/C26</f>
        <v>2700</v>
      </c>
      <c r="M13" s="30" t="str">
        <f t="shared" ca="1" si="2"/>
        <v>=L4/C26</v>
      </c>
      <c r="N13" s="20">
        <f>ROUNDUP(L13,0)</f>
        <v>2700</v>
      </c>
      <c r="O13" s="19">
        <v>5</v>
      </c>
      <c r="P13" s="30" t="str">
        <f t="shared" ca="1" si="3"/>
        <v>=N13*F26</v>
      </c>
      <c r="Q13" s="7">
        <f>N13*F26</f>
        <v>68.106144687720843</v>
      </c>
      <c r="R13" s="7">
        <v>70</v>
      </c>
      <c r="S13" s="11">
        <f t="shared" si="1"/>
        <v>1.8938553122791575</v>
      </c>
      <c r="T13" s="30" t="str">
        <f t="shared" ca="1" si="4"/>
        <v>=R13-Q13</v>
      </c>
    </row>
    <row r="14" spans="1:26" ht="15">
      <c r="A14" s="14" t="s">
        <v>24</v>
      </c>
      <c r="B14" s="15">
        <v>1</v>
      </c>
      <c r="C14" s="15">
        <v>0.96</v>
      </c>
      <c r="D14" s="15">
        <v>2.89</v>
      </c>
      <c r="E14" s="15">
        <f t="shared" si="0"/>
        <v>0.4335</v>
      </c>
      <c r="F14" s="14">
        <v>3.2277587250352999E-2</v>
      </c>
      <c r="G14" s="15">
        <v>100</v>
      </c>
      <c r="H14" s="15">
        <v>0</v>
      </c>
      <c r="I14" s="16">
        <v>1E-3</v>
      </c>
      <c r="K14" s="21" t="s">
        <v>25</v>
      </c>
    </row>
    <row r="15" spans="1:26" ht="15.75" customHeight="1">
      <c r="A15" s="6"/>
      <c r="B15" s="7">
        <v>1</v>
      </c>
      <c r="C15" s="7">
        <v>0.96</v>
      </c>
      <c r="D15">
        <v>2.89</v>
      </c>
      <c r="E15" s="7">
        <f t="shared" si="0"/>
        <v>0.4335</v>
      </c>
      <c r="F15" s="6">
        <v>3.2277587250352999E-2</v>
      </c>
      <c r="G15" s="7">
        <v>100</v>
      </c>
      <c r="H15" s="7">
        <v>600</v>
      </c>
      <c r="I15" s="9">
        <v>3.0000000000000001E-3</v>
      </c>
      <c r="K15" s="22">
        <f ca="1">IFERROR(__xludf.DUMMYFUNCTION("IFERROR(
  MIN( FILTER(H2:H7, H2:H7 &gt; M9) ),
  ""無符合條件""
)
"),3500)</f>
        <v>3500</v>
      </c>
      <c r="L15" s="22">
        <f ca="1">IFERROR(__xludf.DUMMYFUNCTION("IFERROR(
  MIN( FILTER(H8:H13, H8:H13 &gt; M10) ),
  ""無符合條件""
)
"),3375)</f>
        <v>3375</v>
      </c>
      <c r="M15" s="22">
        <f ca="1">IFERROR(__xludf.DUMMYFUNCTION("IFERROR(
  MIN( FILTER(H14:H19, H14:H19 &gt; M11) ),
  ""無符合條件""
)
"),3000)</f>
        <v>3000</v>
      </c>
      <c r="N15" s="22">
        <f ca="1">IFERROR(__xludf.DUMMYFUNCTION("IFERROR(
  MIN( FILTER(H20:H25,H20:H25 &gt; M12) ),
  ""無符合條件""
)
"),2825)</f>
        <v>2825</v>
      </c>
      <c r="O15" s="22">
        <f ca="1">IFERROR(__xludf.DUMMYFUNCTION("IFERROR(
  MIN( FILTER(H26:H31,H26:H31 &gt; M13) ),
  ""無符合條件""
)
"),2700)</f>
        <v>2700</v>
      </c>
      <c r="Q15" s="23" t="s">
        <v>26</v>
      </c>
      <c r="R15" s="13"/>
      <c r="S15" s="13"/>
    </row>
    <row r="16" spans="1:26" ht="15.75" customHeight="1">
      <c r="A16" s="6"/>
      <c r="B16" s="7">
        <v>1</v>
      </c>
      <c r="C16" s="7">
        <v>0.96</v>
      </c>
      <c r="D16">
        <v>2.89</v>
      </c>
      <c r="E16" s="7">
        <f t="shared" si="0"/>
        <v>0.4335</v>
      </c>
      <c r="F16" s="6">
        <v>3.2277587250352999E-2</v>
      </c>
      <c r="G16" s="7">
        <v>100</v>
      </c>
      <c r="H16" s="7">
        <v>1200</v>
      </c>
      <c r="I16" s="9">
        <v>5.0000000000000001E-3</v>
      </c>
      <c r="K16" s="7">
        <f>I6+I7</f>
        <v>0.98399999999999999</v>
      </c>
      <c r="L16" s="7">
        <f>I12+I13</f>
        <v>0.98399999999999999</v>
      </c>
      <c r="M16" s="7">
        <f>I19</f>
        <v>0.97199999999999998</v>
      </c>
      <c r="N16" s="7">
        <f>I25</f>
        <v>0.97199999999999998</v>
      </c>
      <c r="O16" s="7">
        <f>I31</f>
        <v>0.97199999999999998</v>
      </c>
      <c r="P16" s="24">
        <f t="shared" ref="P16:P17" si="5">K16*L16*M16*N16*O16</f>
        <v>0.88917857895628793</v>
      </c>
      <c r="Q16" s="17" t="s">
        <v>27</v>
      </c>
      <c r="R16" s="33" t="s">
        <v>46</v>
      </c>
      <c r="S16" s="17" t="s">
        <v>28</v>
      </c>
      <c r="T16" s="29" t="s">
        <v>43</v>
      </c>
      <c r="U16" s="17" t="s">
        <v>29</v>
      </c>
      <c r="V16" s="29" t="s">
        <v>44</v>
      </c>
      <c r="W16" s="17" t="s">
        <v>30</v>
      </c>
      <c r="X16" s="29" t="s">
        <v>45</v>
      </c>
    </row>
    <row r="17" spans="1:24" ht="13.2">
      <c r="A17" s="6"/>
      <c r="B17" s="7">
        <v>1</v>
      </c>
      <c r="C17" s="7">
        <v>0.96</v>
      </c>
      <c r="D17">
        <v>2.89</v>
      </c>
      <c r="E17" s="7">
        <f t="shared" si="0"/>
        <v>0.4335</v>
      </c>
      <c r="F17" s="6">
        <v>3.2277587250352999E-2</v>
      </c>
      <c r="G17" s="7">
        <v>100</v>
      </c>
      <c r="H17" s="7">
        <v>1800</v>
      </c>
      <c r="I17" s="9">
        <v>7.0000000000000001E-3</v>
      </c>
      <c r="K17" s="7">
        <f>I6</f>
        <v>1.2E-2</v>
      </c>
      <c r="L17" s="7">
        <f>I12</f>
        <v>1.2E-2</v>
      </c>
      <c r="M17" s="7">
        <f>I19</f>
        <v>0.97199999999999998</v>
      </c>
      <c r="N17" s="7">
        <f>I25</f>
        <v>0.97199999999999998</v>
      </c>
      <c r="O17" s="7">
        <f>I31</f>
        <v>0.97199999999999998</v>
      </c>
      <c r="P17" s="7">
        <f t="shared" si="5"/>
        <v>1.3223952691199999E-4</v>
      </c>
      <c r="Q17" s="7">
        <f>Q9*D2</f>
        <v>15.491889248617294</v>
      </c>
      <c r="R17" s="30" t="str">
        <f ca="1">_xlfn.FORMULATEXT(Q17)</f>
        <v>=Q9*D2</v>
      </c>
      <c r="S17" s="7">
        <f>S9*E2</f>
        <v>2.0112166127074058</v>
      </c>
      <c r="T17" s="30" t="str">
        <f ca="1">_xlfn.FORMULATEXT(S17)</f>
        <v>=S9*E2</v>
      </c>
      <c r="U17" s="7">
        <f>SUM(Q17, S17)</f>
        <v>17.503105861324698</v>
      </c>
      <c r="V17" s="30" t="str">
        <f ca="1">_xlfn.FORMULATEXT(U17)</f>
        <v>=SUM(Q17, S17)</v>
      </c>
      <c r="W17" s="7">
        <f>U17*$L$5</f>
        <v>8.2964721782679067</v>
      </c>
      <c r="X17" s="30" t="str">
        <f ca="1">_xlfn.FORMULATEXT(W17)</f>
        <v>=U17*$L$5</v>
      </c>
    </row>
    <row r="18" spans="1:24" ht="15.75" customHeight="1">
      <c r="A18" s="6"/>
      <c r="B18" s="7">
        <v>1</v>
      </c>
      <c r="C18" s="7">
        <v>0.96</v>
      </c>
      <c r="D18">
        <v>2.89</v>
      </c>
      <c r="E18" s="7">
        <f t="shared" si="0"/>
        <v>0.4335</v>
      </c>
      <c r="F18" s="6">
        <v>3.2277587250352999E-2</v>
      </c>
      <c r="G18" s="7">
        <v>100</v>
      </c>
      <c r="H18" s="7">
        <v>2400</v>
      </c>
      <c r="I18" s="9">
        <v>1.2E-2</v>
      </c>
      <c r="K18" s="18" t="s">
        <v>31</v>
      </c>
      <c r="L18" s="13"/>
      <c r="M18" s="17" t="s">
        <v>32</v>
      </c>
      <c r="Q18" s="7">
        <f>Q10*D8</f>
        <v>88.779869149471452</v>
      </c>
      <c r="R18" s="30" t="str">
        <f t="shared" ref="R18:R21" ca="1" si="6">_xlfn.FORMULATEXT(Q18)</f>
        <v>=Q10*D8</v>
      </c>
      <c r="S18" s="7">
        <f>S10*E8</f>
        <v>-0.31198037242071813</v>
      </c>
      <c r="T18" s="30" t="str">
        <f t="shared" ref="T18:T21" ca="1" si="7">_xlfn.FORMULATEXT(S18)</f>
        <v>=S10*E8</v>
      </c>
      <c r="U18" s="7">
        <f>SUM(Q18, S18)</f>
        <v>88.467888777050732</v>
      </c>
      <c r="V18" s="30" t="str">
        <f t="shared" ref="V18:V21" ca="1" si="8">_xlfn.FORMULATEXT(U18)</f>
        <v>=SUM(Q18, S18)</v>
      </c>
      <c r="W18" s="7">
        <f>U18*$L$5</f>
        <v>41.933779280322042</v>
      </c>
      <c r="X18" s="30" t="str">
        <f t="shared" ref="X18:X21" ca="1" si="9">_xlfn.FORMULATEXT(W18)</f>
        <v>=U18*$L$5</v>
      </c>
    </row>
    <row r="19" spans="1:24" ht="15.6">
      <c r="A19" s="6"/>
      <c r="B19" s="7">
        <v>1</v>
      </c>
      <c r="C19" s="7">
        <v>0.96</v>
      </c>
      <c r="D19">
        <v>2.89</v>
      </c>
      <c r="E19" s="7">
        <f t="shared" si="0"/>
        <v>0.4335</v>
      </c>
      <c r="F19" s="6">
        <v>3.2277587250352999E-2</v>
      </c>
      <c r="G19" s="7">
        <v>100</v>
      </c>
      <c r="H19" s="7">
        <v>3000</v>
      </c>
      <c r="I19" s="9">
        <v>0.97199999999999998</v>
      </c>
      <c r="K19" s="25" t="s">
        <v>33</v>
      </c>
      <c r="L19" s="7">
        <f>_xlfn.IFS(N9=0, I2,
    AND(N9&gt;=1, N9&lt;=700), SUM(I3:I7),
    AND(N9&gt;=701,N9&lt;=1400), SUM(I4:I7),
    AND(N9&gt;=1401, N9&lt;=2100), SUM(I5:I7),
    AND(N9&gt;=2101, N9&lt;=2800), SUM(I6:I7),
    AND(N9&gt;=2801, N9&lt;=3500), I7,
    N9&gt;3500, "無法計算"
)*_xlfn.IFS(N10=0, I8,
    AND(N10&gt;=1, N10&lt;=675), SUM(I9:I13),
    AND(N10&gt;=676, N10&lt;=1350), SUM(I10:I13),
    AND(N10&gt;=1351, N10&lt;=2025), SUM(I11:I13),
    AND(N10&gt;=2026, N10&lt;=2700), SUM(I12:I13),
    AND(N10&gt;=2701, N10&lt;=3375), I13,
    N10&gt;3375, "無法計算"
)*_xlfn.IFS(N11=0, I14,
    AND(N11&gt;=1, N11&lt;=600), SUM(I15:I19),
    AND(N11&gt;=601, N11&lt;=1200), SUM(I16:I19),
    AND(N11&gt;=1201, N11&lt;=1800), SUM(I17:I19),
    AND(N11&gt;=1801, N11&lt;=2400), SUM(I18:I19),
    AND(N11&gt;=2401, N11&lt;=3000), I19,
    N11&gt;3000, "無法計算"
)*_xlfn.IFS(N12=0, I20,
    AND(N12&gt;=1, N12&lt;=565), SUM(I21:I25),
    AND(N12&gt;=566, N12&lt;=1130), SUM(I22:I25),
    AND(N12&gt;=1131, N12&lt;=1695), SUM(I23:I25),
    AND(N12&gt;=1696, N12&lt;=2260), SUM(I24:I25),
    AND(N12&gt;=2261, N12&lt;=2825), I25,
    N12&gt;2825, "無法計算"
)*_xlfn.IFS(N13=0, I26,
    AND(N13&gt;=1, N13&lt;=540), SUM(I27:I31),
    AND(N13&gt;=541, N13&lt;=1080), SUM(I28:I31),
    AND(N13&gt;=1081, N13&lt;=1620), SUM(I29:I31),
    AND(N13&gt;=1621, N13&lt;=2160), SUM(I30:I31),
    AND(N13&gt;=2161, N13&lt;=2700), I31,
    N13&gt;2700, "無法計算"
)</f>
        <v>0.86762353606963194</v>
      </c>
      <c r="M19" s="11">
        <f>ROUND(L19,4)</f>
        <v>0.86760000000000004</v>
      </c>
      <c r="Q19" s="7">
        <f>Q11*D14</f>
        <v>273.31692555981414</v>
      </c>
      <c r="R19" s="30" t="str">
        <f t="shared" ca="1" si="6"/>
        <v>=Q11*D14</v>
      </c>
      <c r="S19" s="7">
        <f>S11*E14</f>
        <v>2.3524611660278847</v>
      </c>
      <c r="T19" s="30" t="str">
        <f t="shared" ca="1" si="7"/>
        <v>=S11*E14</v>
      </c>
      <c r="U19" s="7">
        <f>SUM(Q19, S19)</f>
        <v>275.669386725842</v>
      </c>
      <c r="V19" s="30" t="str">
        <f t="shared" ca="1" si="8"/>
        <v>=SUM(Q19, S19)</v>
      </c>
      <c r="W19" s="7">
        <f>U19*$L$5</f>
        <v>130.66728930804911</v>
      </c>
      <c r="X19" s="30" t="str">
        <f t="shared" ca="1" si="9"/>
        <v>=U19*$L$5</v>
      </c>
    </row>
    <row r="20" spans="1:24" ht="16.2">
      <c r="A20" s="14" t="s">
        <v>34</v>
      </c>
      <c r="B20" s="15">
        <v>1</v>
      </c>
      <c r="C20" s="15">
        <v>0.96</v>
      </c>
      <c r="D20" s="15">
        <v>2.89</v>
      </c>
      <c r="E20" s="15">
        <f t="shared" si="0"/>
        <v>0.4335</v>
      </c>
      <c r="F20" s="14">
        <v>8.7320229477563099E-3</v>
      </c>
      <c r="G20" s="15">
        <v>25</v>
      </c>
      <c r="H20" s="15">
        <v>0</v>
      </c>
      <c r="I20" s="16">
        <v>1E-3</v>
      </c>
      <c r="K20" s="32" t="s">
        <v>42</v>
      </c>
      <c r="L20" s="30" t="str">
        <f ca="1">_xlfn.FORMULATEXT(L19)</f>
        <v>=IFS(N9=0, I2,
    AND(N9&gt;=1, N9&lt;=700), SUM(I3:I7),
    AND(N9&gt;=701,N9&lt;=1400), SUM(I4:I7),
    AND(N9&gt;=1401, N9&lt;=2100), SUM(I5:I7),
    AND(N9&gt;=2101, N9&lt;=2800), SUM(I6:I7),
    AND(N9&gt;=2801, N9&lt;=3500), I7,
    N9&gt;3500, "無法計算"
)*IFS(N10=0, I8,
    AND(N10&gt;=1, N10&lt;=675), SUM(I9:I13),
    AND(N10&gt;=676, N10&lt;=1350), SUM(I10:I13),
    AND(N10&gt;=1351, N10&lt;=2025), SUM(I11:I13),
    AND(N10&gt;=2026, N10&lt;=2700), SUM(I12:I13),
    AND(N10&gt;=2701, N10&lt;=3375), I13,
    N10&gt;3375, "無法計算"
)*IFS(N11=0, I14,
    AND(N11&gt;=1, N11&lt;=600), SUM(I15:I19),
    AND(N11&gt;=601, N11&lt;=1200), SUM(I16:I19),
    AND(N11&gt;=1201, N11&lt;=1800), SUM(I17:I19),
    AND(N11&gt;=1801, N11&lt;=2400), SUM(I18:I19),
    AND(N11&gt;=2401, N11&lt;=3000), I19,
    N11&gt;3000, "無法計算"
)*IFS(N12=0, I20,
    AND(N12&gt;=1, N12&lt;=565), SUM(I21:I25),
    AND(N12&gt;=566, N12&lt;=1130), SUM(I22:I25),
    AND(N12&gt;=1131, N12&lt;=1695), SUM(I23:I25),
    AND(N12&gt;=1696, N12&lt;=2260), SUM(I24:I25),
    AND(N12&gt;=2261, N12&lt;=2825), I25,
    N12&gt;2825, "無法計算"
)*IFS(N13=0, I26,
    AND(N13&gt;=1, N13&lt;=540), SUM(I27:I31),
    AND(N13&gt;=541, N13&lt;=1080), SUM(I28:I31),
    AND(N13&gt;=1081, N13&lt;=1620), SUM(I29:I31),
    AND(N13&gt;=1621, N13&lt;=2160), SUM(I30:I31),
    AND(N13&gt;=2161, N13&lt;=2700), I31,
    N13&gt;2700, "無法計算"
)</v>
      </c>
      <c r="Q20" s="7">
        <f>Q12*D20</f>
        <v>70.987591795391268</v>
      </c>
      <c r="R20" s="30" t="str">
        <f t="shared" ca="1" si="6"/>
        <v>=Q12*D20</v>
      </c>
      <c r="S20" s="7">
        <f>S12*E20</f>
        <v>0.18936123069131053</v>
      </c>
      <c r="T20" s="30" t="str">
        <f t="shared" ca="1" si="7"/>
        <v>=S12*E20</v>
      </c>
      <c r="U20" s="7">
        <f>SUM(Q20, S20)</f>
        <v>71.176953026082572</v>
      </c>
      <c r="V20" s="30" t="str">
        <f t="shared" ca="1" si="8"/>
        <v>=SUM(Q20, S20)</v>
      </c>
      <c r="W20" s="7">
        <f>U20*$L$5</f>
        <v>33.737875734363136</v>
      </c>
      <c r="X20" s="30" t="str">
        <f t="shared" ca="1" si="9"/>
        <v>=U20*$L$5</v>
      </c>
    </row>
    <row r="21" spans="1:24" ht="13.2">
      <c r="A21" s="6"/>
      <c r="B21" s="7">
        <v>1</v>
      </c>
      <c r="C21" s="7">
        <v>0.96</v>
      </c>
      <c r="D21">
        <v>2.89</v>
      </c>
      <c r="E21" s="7">
        <f t="shared" si="0"/>
        <v>0.4335</v>
      </c>
      <c r="F21" s="6">
        <v>8.7320229477563099E-3</v>
      </c>
      <c r="G21" s="7">
        <v>25</v>
      </c>
      <c r="H21" s="7">
        <v>565</v>
      </c>
      <c r="I21" s="9">
        <v>3.0000000000000001E-3</v>
      </c>
      <c r="Q21" s="7">
        <f>Q13*D26</f>
        <v>196.82675814751323</v>
      </c>
      <c r="R21" s="30" t="str">
        <f t="shared" ca="1" si="6"/>
        <v>=Q13*D26</v>
      </c>
      <c r="S21" s="7">
        <f>S13*E26</f>
        <v>0.82098627787301481</v>
      </c>
      <c r="T21" s="30" t="str">
        <f t="shared" ca="1" si="7"/>
        <v>=S13*E26</v>
      </c>
      <c r="U21" s="7">
        <f>SUM(Q21, S21)</f>
        <v>197.64774442538624</v>
      </c>
      <c r="V21" s="30" t="str">
        <f t="shared" ca="1" si="8"/>
        <v>=SUM(Q21, S21)</v>
      </c>
      <c r="W21" s="7">
        <f>U21*$L$5</f>
        <v>93.685030857633066</v>
      </c>
      <c r="X21" s="30" t="str">
        <f t="shared" ca="1" si="9"/>
        <v>=U21*$L$5</v>
      </c>
    </row>
    <row r="22" spans="1:24" ht="13.2">
      <c r="A22" s="6"/>
      <c r="B22" s="7">
        <v>1</v>
      </c>
      <c r="C22" s="7">
        <v>0.96</v>
      </c>
      <c r="D22">
        <v>2.89</v>
      </c>
      <c r="E22" s="7">
        <f t="shared" si="0"/>
        <v>0.4335</v>
      </c>
      <c r="F22" s="6">
        <v>8.7320229477563099E-3</v>
      </c>
      <c r="G22" s="7">
        <v>25</v>
      </c>
      <c r="H22" s="7">
        <v>1130</v>
      </c>
      <c r="I22" s="9">
        <v>5.0000000000000001E-3</v>
      </c>
    </row>
    <row r="23" spans="1:24" ht="13.2">
      <c r="A23" s="6"/>
      <c r="B23" s="7">
        <v>1</v>
      </c>
      <c r="C23" s="7">
        <v>0.96</v>
      </c>
      <c r="D23">
        <v>2.89</v>
      </c>
      <c r="E23" s="7">
        <f t="shared" si="0"/>
        <v>0.4335</v>
      </c>
      <c r="F23" s="6">
        <v>8.7320229477563099E-3</v>
      </c>
      <c r="G23" s="7">
        <v>25</v>
      </c>
      <c r="H23" s="7">
        <v>1695</v>
      </c>
      <c r="I23" s="9">
        <v>7.0000000000000001E-3</v>
      </c>
      <c r="S23" s="7" t="s">
        <v>29</v>
      </c>
      <c r="T23" s="7" t="s">
        <v>30</v>
      </c>
    </row>
    <row r="24" spans="1:24" ht="13.2">
      <c r="A24" s="6"/>
      <c r="B24" s="7">
        <v>1</v>
      </c>
      <c r="C24" s="7">
        <v>0.96</v>
      </c>
      <c r="D24">
        <v>2.89</v>
      </c>
      <c r="E24" s="7">
        <f t="shared" si="0"/>
        <v>0.4335</v>
      </c>
      <c r="F24" s="6">
        <v>8.7320229477563099E-3</v>
      </c>
      <c r="G24" s="7">
        <v>25</v>
      </c>
      <c r="H24" s="7">
        <v>2260</v>
      </c>
      <c r="I24" s="9">
        <v>1.2E-2</v>
      </c>
      <c r="S24" s="11">
        <f>SUM(U17:U21)</f>
        <v>650.46507881568618</v>
      </c>
      <c r="T24" s="11">
        <f>SUM(W17:W21)</f>
        <v>308.32044735863525</v>
      </c>
    </row>
    <row r="25" spans="1:24" ht="13.8">
      <c r="A25" s="6"/>
      <c r="B25" s="7">
        <v>1</v>
      </c>
      <c r="C25" s="7">
        <v>0.96</v>
      </c>
      <c r="D25">
        <v>2.89</v>
      </c>
      <c r="E25" s="7">
        <f t="shared" si="0"/>
        <v>0.4335</v>
      </c>
      <c r="F25" s="6">
        <v>8.7320229477563099E-3</v>
      </c>
      <c r="G25" s="7">
        <v>25</v>
      </c>
      <c r="H25" s="7">
        <v>2825</v>
      </c>
      <c r="I25" s="9">
        <v>0.97199999999999998</v>
      </c>
      <c r="S25" s="31" t="s">
        <v>40</v>
      </c>
      <c r="T25" s="31" t="s">
        <v>41</v>
      </c>
    </row>
    <row r="26" spans="1:24" ht="13.2">
      <c r="A26" s="14" t="s">
        <v>35</v>
      </c>
      <c r="B26" s="15">
        <v>1</v>
      </c>
      <c r="C26" s="15">
        <v>0.96</v>
      </c>
      <c r="D26" s="15">
        <v>2.89</v>
      </c>
      <c r="E26" s="15">
        <f t="shared" si="0"/>
        <v>0.4335</v>
      </c>
      <c r="F26" s="14">
        <v>2.52244980324892E-2</v>
      </c>
      <c r="G26" s="15">
        <v>70</v>
      </c>
      <c r="H26" s="15">
        <v>0</v>
      </c>
      <c r="I26" s="16">
        <v>1E-3</v>
      </c>
      <c r="S26" s="30" t="str">
        <f ca="1">_xlfn.FORMULATEXT(S24)</f>
        <v>=SUM(U17:U21)</v>
      </c>
      <c r="T26" s="30" t="str">
        <f ca="1">_xlfn.FORMULATEXT(T24)</f>
        <v>=SUM(W17:W21)</v>
      </c>
    </row>
    <row r="27" spans="1:24" ht="13.2">
      <c r="A27" s="6"/>
      <c r="B27" s="7">
        <v>1</v>
      </c>
      <c r="C27" s="7">
        <v>0.96</v>
      </c>
      <c r="D27">
        <v>2.89</v>
      </c>
      <c r="E27" s="7">
        <f t="shared" si="0"/>
        <v>0.4335</v>
      </c>
      <c r="F27" s="6">
        <v>2.52244980324892E-2</v>
      </c>
      <c r="G27" s="7">
        <v>70</v>
      </c>
      <c r="H27" s="7">
        <v>540</v>
      </c>
      <c r="I27" s="9">
        <v>3.0000000000000001E-3</v>
      </c>
    </row>
    <row r="28" spans="1:24" ht="13.2">
      <c r="A28" s="6"/>
      <c r="B28" s="7">
        <v>1</v>
      </c>
      <c r="C28" s="7">
        <v>0.96</v>
      </c>
      <c r="D28">
        <v>2.89</v>
      </c>
      <c r="E28" s="7">
        <f t="shared" si="0"/>
        <v>0.4335</v>
      </c>
      <c r="F28" s="6">
        <v>2.52244980324892E-2</v>
      </c>
      <c r="G28" s="7">
        <v>70</v>
      </c>
      <c r="H28" s="7">
        <v>1080</v>
      </c>
      <c r="I28" s="9">
        <v>5.0000000000000001E-3</v>
      </c>
    </row>
    <row r="29" spans="1:24" ht="13.2">
      <c r="A29" s="6"/>
      <c r="B29" s="7">
        <v>1</v>
      </c>
      <c r="C29" s="7">
        <v>0.96</v>
      </c>
      <c r="D29">
        <v>2.89</v>
      </c>
      <c r="E29" s="7">
        <f t="shared" si="0"/>
        <v>0.4335</v>
      </c>
      <c r="F29" s="6">
        <v>2.52244980324892E-2</v>
      </c>
      <c r="G29" s="7">
        <v>70</v>
      </c>
      <c r="H29" s="7">
        <v>1620</v>
      </c>
      <c r="I29" s="9">
        <v>7.0000000000000001E-3</v>
      </c>
    </row>
    <row r="30" spans="1:24" ht="13.2">
      <c r="A30" s="6"/>
      <c r="B30" s="7">
        <v>1</v>
      </c>
      <c r="C30" s="7">
        <v>0.96</v>
      </c>
      <c r="D30">
        <v>2.89</v>
      </c>
      <c r="E30" s="7">
        <f t="shared" si="0"/>
        <v>0.4335</v>
      </c>
      <c r="F30" s="6">
        <v>2.52244980324892E-2</v>
      </c>
      <c r="G30" s="7">
        <v>70</v>
      </c>
      <c r="H30" s="7">
        <v>2160</v>
      </c>
      <c r="I30" s="9">
        <v>1.2E-2</v>
      </c>
    </row>
    <row r="31" spans="1:24" ht="13.2">
      <c r="A31" s="26"/>
      <c r="B31" s="27">
        <v>1</v>
      </c>
      <c r="C31" s="27">
        <v>0.96</v>
      </c>
      <c r="D31">
        <v>2.89</v>
      </c>
      <c r="E31" s="7">
        <f t="shared" si="0"/>
        <v>0.4335</v>
      </c>
      <c r="F31" s="26">
        <v>2.52244980324892E-2</v>
      </c>
      <c r="G31" s="27">
        <v>70</v>
      </c>
      <c r="H31" s="27">
        <v>2700</v>
      </c>
      <c r="I31" s="28">
        <v>0.97199999999999998</v>
      </c>
    </row>
    <row r="32" spans="1:24" ht="15.75" customHeight="1">
      <c r="D32" s="15"/>
      <c r="E32" s="15"/>
    </row>
    <row r="36" spans="11:12" ht="13.2">
      <c r="K36" s="7" t="s">
        <v>36</v>
      </c>
      <c r="L36" s="7">
        <f>G7+G13+G19+G25+G31</f>
        <v>235</v>
      </c>
    </row>
  </sheetData>
  <phoneticPr fontId="9" type="noConversion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羽瑄 張</cp:lastModifiedBy>
  <dcterms:modified xsi:type="dcterms:W3CDTF">2025-11-20T09:29:35Z</dcterms:modified>
</cp:coreProperties>
</file>